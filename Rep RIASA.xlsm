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pracproduccion\Escritorio\Diego\Graficas Streamlit\"/>
    </mc:Choice>
  </mc:AlternateContent>
  <bookViews>
    <workbookView xWindow="0" yWindow="0" windowWidth="28800" windowHeight="12180"/>
  </bookViews>
  <sheets>
    <sheet name="Medidores Grafica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1" l="1"/>
  <c r="C39" i="1"/>
  <c r="B39" i="1"/>
  <c r="A39" i="1"/>
  <c r="D35" i="1"/>
  <c r="C35" i="1"/>
  <c r="B35" i="1"/>
  <c r="A35" i="1"/>
  <c r="D31" i="1"/>
  <c r="D26" i="1"/>
  <c r="C26" i="1"/>
  <c r="B26" i="1"/>
  <c r="A26" i="1"/>
  <c r="C21" i="1"/>
  <c r="A21" i="1"/>
  <c r="K16" i="1"/>
  <c r="I16" i="1"/>
  <c r="C16" i="1"/>
  <c r="A16" i="1"/>
  <c r="K10" i="1"/>
  <c r="I10" i="1"/>
  <c r="C10" i="1"/>
  <c r="A10" i="1"/>
  <c r="M7" i="1"/>
  <c r="K7" i="1"/>
  <c r="J7" i="1"/>
  <c r="L7" i="1" s="1"/>
  <c r="K6" i="1"/>
  <c r="J6" i="1"/>
  <c r="M6" i="1" s="1"/>
  <c r="K5" i="1"/>
  <c r="J5" i="1"/>
  <c r="M5" i="1" s="1"/>
  <c r="K4" i="1"/>
  <c r="J4" i="1"/>
  <c r="M4" i="1" s="1"/>
  <c r="C4" i="1"/>
  <c r="E4" i="1" s="1"/>
  <c r="B4" i="1"/>
  <c r="D4" i="1" s="1"/>
  <c r="A4" i="1"/>
  <c r="K3" i="1"/>
  <c r="J3" i="1"/>
  <c r="M3" i="1" s="1"/>
  <c r="C3" i="1"/>
  <c r="E3" i="1" s="1"/>
  <c r="B3" i="1"/>
  <c r="D3" i="1" s="1"/>
  <c r="A3" i="1"/>
  <c r="K2" i="1"/>
  <c r="J2" i="1"/>
  <c r="M2" i="1" s="1"/>
  <c r="C2" i="1"/>
  <c r="E2" i="1" s="1"/>
  <c r="B2" i="1"/>
  <c r="D2" i="1" s="1"/>
  <c r="A2" i="1"/>
  <c r="L4" i="1" l="1"/>
  <c r="L5" i="1"/>
  <c r="L6" i="1"/>
  <c r="L2" i="1"/>
  <c r="L3" i="1"/>
  <c r="B16" i="1" l="1"/>
  <c r="J16" i="1" l="1"/>
  <c r="B21" i="1" l="1"/>
  <c r="L26" i="1" l="1"/>
  <c r="L21" i="1"/>
  <c r="L27" i="1"/>
  <c r="L22" i="1"/>
  <c r="L25" i="1"/>
  <c r="L24" i="1"/>
  <c r="L23" i="1"/>
  <c r="J10" i="1" l="1"/>
  <c r="D21" i="1" l="1"/>
  <c r="L16" i="1" l="1"/>
  <c r="L10" i="1" l="1"/>
  <c r="B10" i="1" l="1"/>
  <c r="D16" i="1" l="1"/>
  <c r="D10" i="1" l="1"/>
</calcChain>
</file>

<file path=xl/sharedStrings.xml><?xml version="1.0" encoding="utf-8"?>
<sst xmlns="http://schemas.openxmlformats.org/spreadsheetml/2006/main" count="80" uniqueCount="46">
  <si>
    <t>MERCADO</t>
  </si>
  <si>
    <t>Objetivos</t>
  </si>
  <si>
    <t>Producción</t>
  </si>
  <si>
    <t>Diferencia</t>
  </si>
  <si>
    <t>Cumplimiento</t>
  </si>
  <si>
    <t>Facturado</t>
  </si>
  <si>
    <t>Cumpliento</t>
  </si>
  <si>
    <t xml:space="preserve">EXPORTACIONES </t>
  </si>
  <si>
    <t>MAQUILA STRYTEN</t>
  </si>
  <si>
    <t>ENERYA</t>
  </si>
  <si>
    <t>GMX</t>
  </si>
  <si>
    <t>MAQUILA</t>
  </si>
  <si>
    <t>PB HORNO</t>
  </si>
  <si>
    <t>Facturación</t>
  </si>
  <si>
    <t>Plan mensual</t>
  </si>
  <si>
    <t>Plan Pza</t>
  </si>
  <si>
    <t>Real Pza</t>
  </si>
  <si>
    <t>Cond</t>
  </si>
  <si>
    <t>Real pza</t>
  </si>
  <si>
    <t>Inyectora</t>
  </si>
  <si>
    <t>Peletizado</t>
  </si>
  <si>
    <t>Triturado</t>
  </si>
  <si>
    <t>Cajas desglose</t>
  </si>
  <si>
    <t>Cump</t>
  </si>
  <si>
    <t>Código</t>
  </si>
  <si>
    <t>Descripción</t>
  </si>
  <si>
    <t>Cliente</t>
  </si>
  <si>
    <t>Cajas Recibidas</t>
  </si>
  <si>
    <t>Acum Automotriz Usado Nacional - Merma</t>
  </si>
  <si>
    <t>Gonhermex</t>
  </si>
  <si>
    <t>Acum Industrial Usado Nacional</t>
  </si>
  <si>
    <t>Venta Directa</t>
  </si>
  <si>
    <t>Acum Automotriz Usado Maq Epm Nac</t>
  </si>
  <si>
    <t>Greenwich Maq.</t>
  </si>
  <si>
    <t>Fact. Lav. Exide Mdsa</t>
  </si>
  <si>
    <t>Acum Automotriz Usado Importado</t>
  </si>
  <si>
    <t>Epm Maq</t>
  </si>
  <si>
    <t>Batt Auto Used Maq Epm Imp</t>
  </si>
  <si>
    <t>Stryten Maq</t>
  </si>
  <si>
    <t>Acum Automotriz Usado Imp Exide Mdsa</t>
  </si>
  <si>
    <t xml:space="preserve">Trafigura </t>
  </si>
  <si>
    <t>Celda Industrial Usada Imp Exide Mdsa</t>
  </si>
  <si>
    <t>Interstate</t>
  </si>
  <si>
    <t>Fact. Lav. Molido</t>
  </si>
  <si>
    <t>Fact. TDM</t>
  </si>
  <si>
    <t>Fact. Vega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</si>
</sst>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6"/>
      <color theme="1"/>
      <name val="Calibri Light"/>
      <family val="2"/>
    </font>
    <font>
      <b/>
      <sz val="11"/>
      <color theme="1" tint="4.9989318521683403E-2"/>
      <name val="Calibri"/>
      <family val="2"/>
      <scheme val="minor"/>
    </font>
    <font>
      <sz val="11"/>
      <color theme="1"/>
      <name val="Aptos Narrow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center"/>
    </xf>
    <xf numFmtId="1" fontId="2" fillId="2" borderId="0" xfId="0" applyNumberFormat="1" applyFont="1" applyFill="1"/>
    <xf numFmtId="9" fontId="2" fillId="2" borderId="0" xfId="1" applyFont="1" applyFill="1"/>
    <xf numFmtId="3" fontId="2" fillId="2" borderId="0" xfId="0" applyNumberFormat="1" applyFont="1" applyFill="1" applyAlignment="1">
      <alignment horizontal="center"/>
    </xf>
    <xf numFmtId="9" fontId="2" fillId="2" borderId="0" xfId="1" applyFont="1" applyFill="1" applyAlignment="1">
      <alignment horizontal="center"/>
    </xf>
    <xf numFmtId="0" fontId="3" fillId="0" borderId="0" xfId="0" applyFont="1" applyAlignment="1">
      <alignment horizontal="center"/>
    </xf>
    <xf numFmtId="3" fontId="2" fillId="2" borderId="0" xfId="0" applyNumberFormat="1" applyFont="1" applyFill="1"/>
    <xf numFmtId="0" fontId="4" fillId="2" borderId="0" xfId="0" applyFont="1" applyFill="1" applyAlignment="1">
      <alignment horizontal="center"/>
    </xf>
    <xf numFmtId="0" fontId="4" fillId="2" borderId="0" xfId="0" applyFont="1" applyFill="1"/>
    <xf numFmtId="10" fontId="2" fillId="2" borderId="0" xfId="0" applyNumberFormat="1" applyFont="1" applyFill="1"/>
    <xf numFmtId="0" fontId="0" fillId="2" borderId="0" xfId="0" applyFont="1" applyFill="1" applyAlignment="1">
      <alignment horizontal="center" vertical="center"/>
    </xf>
    <xf numFmtId="1" fontId="5" fillId="2" borderId="0" xfId="0" applyNumberFormat="1" applyFont="1" applyFill="1" applyBorder="1" applyAlignment="1">
      <alignment horizontal="center" vertical="center"/>
    </xf>
    <xf numFmtId="3" fontId="2" fillId="2" borderId="0" xfId="0" quotePrefix="1" applyNumberFormat="1" applyFont="1" applyFill="1"/>
  </cellXfs>
  <cellStyles count="2">
    <cellStyle name="Normal" xfId="0" builtinId="0"/>
    <cellStyle name="Porcentaje" xfId="1" builtinId="5"/>
  </cellStyles>
  <dxfs count="74"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0D0D0D"/>
        <name val="Calibri"/>
        <scheme val="none"/>
      </font>
      <fill>
        <patternFill patternType="solid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" formatCode="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809625</xdr:colOff>
      <xdr:row>9</xdr:row>
      <xdr:rowOff>152400</xdr:rowOff>
    </xdr:from>
    <xdr:to>
      <xdr:col>15</xdr:col>
      <xdr:colOff>390525</xdr:colOff>
      <xdr:row>12</xdr:row>
      <xdr:rowOff>123825</xdr:rowOff>
    </xdr:to>
    <xdr:sp macro="[1]!Hoja11.GuardarCopiaComoxlsm" textlink="">
      <xdr:nvSpPr>
        <xdr:cNvPr id="2" name="Rectángulo redondeado 1"/>
        <xdr:cNvSpPr/>
      </xdr:nvSpPr>
      <xdr:spPr>
        <a:xfrm>
          <a:off x="13382625" y="1943100"/>
          <a:ext cx="2009775" cy="5429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800">
              <a:latin typeface="+mj-lt"/>
            </a:rPr>
            <a:t>Copia</a:t>
          </a:r>
          <a:endParaRPr lang="es-MX" sz="1100">
            <a:latin typeface="+mj-lt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%20RIAS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t"/>
      <sheetName val="BD fac pb"/>
      <sheetName val="Prodcc"/>
      <sheetName val="BD pro pb"/>
      <sheetName val="Iny"/>
      <sheetName val="BD Iny"/>
      <sheetName val="Pel"/>
      <sheetName val="Tri"/>
      <sheetName val="Cajas DiaCliente"/>
      <sheetName val="BD Cajas"/>
      <sheetName val="MB52"/>
      <sheetName val="Copiar"/>
      <sheetName val="Fact.TDM"/>
      <sheetName val="Fact. Vega "/>
      <sheetName val="Fact. Lav. Exide Mdsa"/>
      <sheetName val="Fact. Lav."/>
      <sheetName val="Medidores Grafica"/>
      <sheetName val="Tablas Inv Global RIASA"/>
    </sheetNames>
    <definedNames>
      <definedName name="Hoja11.GuardarCopiaComoxlsm"/>
    </definedNames>
    <sheetDataSet>
      <sheetData sheetId="0">
        <row r="2">
          <cell r="I2">
            <v>6854</v>
          </cell>
          <cell r="Q2">
            <v>1065.683</v>
          </cell>
          <cell r="R2">
            <v>1320</v>
          </cell>
        </row>
        <row r="3">
          <cell r="I3">
            <v>6601.9230769230735</v>
          </cell>
          <cell r="Q3">
            <v>0</v>
          </cell>
          <cell r="R3">
            <v>800</v>
          </cell>
        </row>
        <row r="4">
          <cell r="J4">
            <v>5757.6486279999881</v>
          </cell>
          <cell r="L4">
            <v>0.84004211088415348</v>
          </cell>
          <cell r="M4">
            <v>0.87211689092921507</v>
          </cell>
          <cell r="Q4">
            <v>1012.709848</v>
          </cell>
          <cell r="R4">
            <v>800</v>
          </cell>
        </row>
        <row r="5">
          <cell r="M5" t="str">
            <v xml:space="preserve"> </v>
          </cell>
          <cell r="Q5">
            <v>1254.77</v>
          </cell>
          <cell r="R5">
            <v>1334</v>
          </cell>
        </row>
        <row r="6">
          <cell r="Q6">
            <v>1916.3257799999883</v>
          </cell>
          <cell r="R6">
            <v>2300</v>
          </cell>
        </row>
        <row r="7">
          <cell r="Q7">
            <v>508.16</v>
          </cell>
          <cell r="R7">
            <v>300</v>
          </cell>
        </row>
      </sheetData>
      <sheetData sheetId="1"/>
      <sheetData sheetId="2">
        <row r="3">
          <cell r="D3">
            <v>6775</v>
          </cell>
        </row>
        <row r="5">
          <cell r="D5">
            <v>6549.166666666667</v>
          </cell>
          <cell r="E5">
            <v>5855.8919999999998</v>
          </cell>
          <cell r="G5">
            <v>0.8643383025830258</v>
          </cell>
          <cell r="H5">
            <v>0.89414307163761286</v>
          </cell>
        </row>
        <row r="6">
          <cell r="C6" t="str">
            <v>RIASA</v>
          </cell>
          <cell r="D6">
            <v>6375</v>
          </cell>
          <cell r="E6">
            <v>5425.7120000000004</v>
          </cell>
        </row>
        <row r="7">
          <cell r="C7" t="str">
            <v>PIPSA</v>
          </cell>
          <cell r="D7">
            <v>400</v>
          </cell>
          <cell r="E7">
            <v>420.18</v>
          </cell>
        </row>
        <row r="8">
          <cell r="C8" t="str">
            <v>OMEGA</v>
          </cell>
          <cell r="D8">
            <v>0</v>
          </cell>
          <cell r="E8">
            <v>0</v>
          </cell>
        </row>
      </sheetData>
      <sheetData sheetId="3"/>
      <sheetData sheetId="4">
        <row r="2">
          <cell r="D2">
            <v>911538.46153846127</v>
          </cell>
          <cell r="E2">
            <v>660484</v>
          </cell>
        </row>
        <row r="4">
          <cell r="D4">
            <v>881153.84615384589</v>
          </cell>
          <cell r="G4">
            <v>0.72458160337552768</v>
          </cell>
          <cell r="H4">
            <v>0.74956717590571831</v>
          </cell>
        </row>
      </sheetData>
      <sheetData sheetId="5"/>
      <sheetData sheetId="6">
        <row r="2">
          <cell r="D2">
            <v>486000</v>
          </cell>
          <cell r="E2">
            <v>284890</v>
          </cell>
        </row>
        <row r="4">
          <cell r="D4">
            <v>469800</v>
          </cell>
          <cell r="G4">
            <v>0.58619341563786009</v>
          </cell>
          <cell r="H4">
            <v>0.60640698169433804</v>
          </cell>
        </row>
      </sheetData>
      <sheetData sheetId="7">
        <row r="3">
          <cell r="E3">
            <v>12000</v>
          </cell>
        </row>
        <row r="4">
          <cell r="D4">
            <v>11500</v>
          </cell>
          <cell r="E4">
            <v>8294.5932769999999</v>
          </cell>
          <cell r="H4">
            <v>0.7212689806086956</v>
          </cell>
        </row>
        <row r="5">
          <cell r="F5">
            <v>0.69121610641666664</v>
          </cell>
        </row>
        <row r="7">
          <cell r="D7">
            <v>12000</v>
          </cell>
        </row>
      </sheetData>
      <sheetData sheetId="8">
        <row r="1">
          <cell r="K1" t="str">
            <v>Cliente</v>
          </cell>
          <cell r="Q1" t="str">
            <v>Can./ Caja</v>
          </cell>
        </row>
        <row r="2">
          <cell r="K2" t="str">
            <v>Gonhermex</v>
          </cell>
          <cell r="Q2">
            <v>0.81524324324324327</v>
          </cell>
        </row>
        <row r="3">
          <cell r="K3" t="str">
            <v>Venta Directa</v>
          </cell>
          <cell r="Q3">
            <v>0</v>
          </cell>
        </row>
        <row r="4">
          <cell r="K4" t="str">
            <v>Greenwich Maq.</v>
          </cell>
          <cell r="Q4">
            <v>0</v>
          </cell>
        </row>
        <row r="5">
          <cell r="K5" t="str">
            <v>Greenwich Maq.</v>
          </cell>
          <cell r="Q5">
            <v>0</v>
          </cell>
        </row>
        <row r="6">
          <cell r="K6" t="str">
            <v>Greenwich Maq.</v>
          </cell>
          <cell r="Q6">
            <v>0</v>
          </cell>
        </row>
        <row r="7">
          <cell r="K7" t="str">
            <v>Epm Maq</v>
          </cell>
          <cell r="Q7">
            <v>0</v>
          </cell>
        </row>
        <row r="8">
          <cell r="K8" t="str">
            <v>Venta Directa</v>
          </cell>
          <cell r="Q8">
            <v>1.0396962162162162</v>
          </cell>
        </row>
        <row r="9">
          <cell r="K9" t="str">
            <v>Venta Directa</v>
          </cell>
          <cell r="Q9">
            <v>0</v>
          </cell>
        </row>
        <row r="10">
          <cell r="K10" t="str">
            <v>Epm Maq</v>
          </cell>
          <cell r="Q10">
            <v>15.733008324324324</v>
          </cell>
        </row>
        <row r="11">
          <cell r="K11" t="str">
            <v>Epm Maq</v>
          </cell>
          <cell r="Q11">
            <v>0</v>
          </cell>
        </row>
        <row r="12">
          <cell r="K12" t="str">
            <v>Epm Maq</v>
          </cell>
          <cell r="Q12">
            <v>0</v>
          </cell>
        </row>
        <row r="13">
          <cell r="K13" t="str">
            <v>Epm Maq</v>
          </cell>
          <cell r="Q13">
            <v>0</v>
          </cell>
        </row>
        <row r="14">
          <cell r="K14" t="str">
            <v>Stryten Maq</v>
          </cell>
          <cell r="Q14">
            <v>2.0558854054054057</v>
          </cell>
        </row>
        <row r="15">
          <cell r="K15" t="str">
            <v>Stryten Maq</v>
          </cell>
          <cell r="Q15">
            <v>0</v>
          </cell>
        </row>
        <row r="16">
          <cell r="K16" t="str">
            <v>Venta Directa</v>
          </cell>
          <cell r="Q16">
            <v>0</v>
          </cell>
        </row>
        <row r="17">
          <cell r="K17" t="str">
            <v>Epm Maq</v>
          </cell>
          <cell r="Q17">
            <v>0</v>
          </cell>
        </row>
        <row r="18">
          <cell r="K18" t="str">
            <v xml:space="preserve">Trafigura </v>
          </cell>
          <cell r="Q18">
            <v>0</v>
          </cell>
        </row>
        <row r="19">
          <cell r="K19" t="str">
            <v>Stryten Maq</v>
          </cell>
          <cell r="Q19">
            <v>0</v>
          </cell>
        </row>
        <row r="20">
          <cell r="K20" t="str">
            <v>Interstate</v>
          </cell>
          <cell r="Q20">
            <v>0</v>
          </cell>
        </row>
        <row r="21">
          <cell r="K21" t="str">
            <v>Epm Maq</v>
          </cell>
          <cell r="Q21">
            <v>0</v>
          </cell>
        </row>
        <row r="22">
          <cell r="K22" t="str">
            <v>Stryten Maq</v>
          </cell>
          <cell r="Q22">
            <v>0</v>
          </cell>
        </row>
        <row r="23">
          <cell r="K23" t="str">
            <v>Stryten Maq</v>
          </cell>
          <cell r="Q23">
            <v>0</v>
          </cell>
        </row>
        <row r="24">
          <cell r="K24" t="str">
            <v>Venta Directa</v>
          </cell>
          <cell r="Q24">
            <v>0</v>
          </cell>
        </row>
        <row r="25">
          <cell r="K25" t="str">
            <v>Interstate</v>
          </cell>
          <cell r="Q25">
            <v>0</v>
          </cell>
        </row>
        <row r="26">
          <cell r="K26" t="str">
            <v>Interstate</v>
          </cell>
          <cell r="Q26">
            <v>0</v>
          </cell>
        </row>
        <row r="27">
          <cell r="K27" t="str">
            <v>Interstate</v>
          </cell>
          <cell r="Q27">
            <v>0</v>
          </cell>
        </row>
        <row r="28">
          <cell r="K28" t="str">
            <v xml:space="preserve">Trafigura </v>
          </cell>
          <cell r="Q28">
            <v>0</v>
          </cell>
        </row>
        <row r="29">
          <cell r="K29" t="str">
            <v xml:space="preserve">Trafigura </v>
          </cell>
          <cell r="Q29">
            <v>0</v>
          </cell>
        </row>
        <row r="30">
          <cell r="K30" t="str">
            <v>Gonhermex</v>
          </cell>
          <cell r="Q30">
            <v>0</v>
          </cell>
        </row>
        <row r="31">
          <cell r="K31" t="str">
            <v>Gonhermex</v>
          </cell>
          <cell r="Q31">
            <v>0</v>
          </cell>
        </row>
        <row r="32">
          <cell r="K32" t="str">
            <v xml:space="preserve">Trafigura </v>
          </cell>
          <cell r="Q32">
            <v>0</v>
          </cell>
        </row>
        <row r="33">
          <cell r="Q33">
            <v>19.643833189189188</v>
          </cell>
        </row>
        <row r="35">
          <cell r="K35" t="str">
            <v>31 codigos</v>
          </cell>
        </row>
        <row r="36">
          <cell r="K36">
            <v>1400</v>
          </cell>
        </row>
        <row r="37">
          <cell r="K37">
            <v>1000</v>
          </cell>
        </row>
        <row r="38">
          <cell r="K38">
            <v>101</v>
          </cell>
        </row>
        <row r="39">
          <cell r="K39">
            <v>46202</v>
          </cell>
        </row>
      </sheetData>
      <sheetData sheetId="9"/>
      <sheetData sheetId="10"/>
      <sheetData sheetId="11"/>
      <sheetData sheetId="12">
        <row r="2">
          <cell r="C2">
            <v>9411</v>
          </cell>
          <cell r="D2">
            <v>9411</v>
          </cell>
          <cell r="E2">
            <v>9411</v>
          </cell>
          <cell r="F2">
            <v>1</v>
          </cell>
        </row>
      </sheetData>
      <sheetData sheetId="13">
        <row r="2">
          <cell r="C2">
            <v>35660</v>
          </cell>
          <cell r="D2">
            <v>35660</v>
          </cell>
          <cell r="E2">
            <v>35660</v>
          </cell>
          <cell r="F2">
            <v>1</v>
          </cell>
        </row>
      </sheetData>
      <sheetData sheetId="14">
        <row r="2">
          <cell r="C2">
            <v>0</v>
          </cell>
          <cell r="D2">
            <v>0</v>
          </cell>
          <cell r="E2">
            <v>40000</v>
          </cell>
          <cell r="F2">
            <v>0</v>
          </cell>
        </row>
      </sheetData>
      <sheetData sheetId="15"/>
      <sheetData sheetId="16"/>
      <sheetData sheetId="17"/>
    </sheetDataSet>
  </externalBook>
</externalLink>
</file>

<file path=xl/tables/table1.xml><?xml version="1.0" encoding="utf-8"?>
<table xmlns="http://schemas.openxmlformats.org/spreadsheetml/2006/main" id="1" name="Tabla4" displayName="Tabla4" ref="A1:E4" totalsRowShown="0" headerRowDxfId="73" dataDxfId="72">
  <autoFilter ref="A1:E4"/>
  <tableColumns count="5">
    <tableColumn id="1" name="MERCADO" dataDxfId="71">
      <calculatedColumnFormula>[1]Prodcc!C6</calculatedColumnFormula>
    </tableColumn>
    <tableColumn id="2" name="Objetivos" dataDxfId="70">
      <calculatedColumnFormula>[1]Prodcc!D6</calculatedColumnFormula>
    </tableColumn>
    <tableColumn id="3" name="Producción" dataDxfId="69">
      <calculatedColumnFormula>[1]Prodcc!E6</calculatedColumnFormula>
    </tableColumn>
    <tableColumn id="4" name="Diferencia" dataDxfId="68">
      <calculatedColumnFormula>B2-C2</calculatedColumnFormula>
    </tableColumn>
    <tableColumn id="5" name="Cumplimiento" dataDxfId="67" dataCellStyle="Porcentaje">
      <calculatedColumnFormula>IFERROR(C2/B2,0)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3" displayName="Tabla3" ref="A9:D10" totalsRowShown="0" headerRowDxfId="66" dataDxfId="65">
  <autoFilter ref="A9:D10"/>
  <tableColumns count="4">
    <tableColumn id="1" name="Plan mensual" dataDxfId="64">
      <calculatedColumnFormula>[1]Prodcc!D3</calculatedColumnFormula>
    </tableColumn>
    <tableColumn id="2" name="Plan Pza" dataDxfId="63">
      <calculatedColumnFormula>+IF([1]Fact!M5="C",[1]Prodcc!D3,[1]Prodcc!D5)</calculatedColumnFormula>
    </tableColumn>
    <tableColumn id="3" name="Real Pza" dataDxfId="62">
      <calculatedColumnFormula>[1]Prodcc!E5</calculatedColumnFormula>
    </tableColumn>
    <tableColumn id="5" name="Cond" dataDxfId="61" dataCellStyle="Porcentaje">
      <calculatedColumnFormula>IF([1]Fact!M5="C",[1]Prodcc!G5,[1]Prodcc!H5)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6" displayName="Tabla6" ref="I1:M7" totalsRowShown="0" headerRowDxfId="60" dataDxfId="59">
  <autoFilter ref="I1:M7"/>
  <tableColumns count="5">
    <tableColumn id="1" name="MERCADO" dataDxfId="58"/>
    <tableColumn id="2" name="Facturado" dataDxfId="57">
      <calculatedColumnFormula>[1]Fact!Q2</calculatedColumnFormula>
    </tableColumn>
    <tableColumn id="3" name="Objetivos" dataDxfId="56">
      <calculatedColumnFormula>[1]Fact!R2</calculatedColumnFormula>
    </tableColumn>
    <tableColumn id="4" name="Diferencia" dataDxfId="55">
      <calculatedColumnFormula>J2-K2</calculatedColumnFormula>
    </tableColumn>
    <tableColumn id="5" name="Cumpliento" dataDxfId="54" dataCellStyle="Porcentaje">
      <calculatedColumnFormula>J2/K2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7" displayName="Tabla7" ref="I9:L10" totalsRowShown="0" headerRowDxfId="53" dataDxfId="52">
  <autoFilter ref="I9:L10"/>
  <tableColumns count="4">
    <tableColumn id="1" name="Plan mensual" dataDxfId="51">
      <calculatedColumnFormula>[1]Fact!I2</calculatedColumnFormula>
    </tableColumn>
    <tableColumn id="2" name="Plan Pza" dataDxfId="50">
      <calculatedColumnFormula>IF([1]Fact!M5="C",[1]Fact!I2,[1]Fact!I3)</calculatedColumnFormula>
    </tableColumn>
    <tableColumn id="3" name="Real pza" dataDxfId="49">
      <calculatedColumnFormula>[1]Fact!J4</calculatedColumnFormula>
    </tableColumn>
    <tableColumn id="4" name="Cond" dataDxfId="48" dataCellStyle="Porcentaje">
      <calculatedColumnFormula>IF([1]Fact!M5="C",[1]Fact!L4,[1]Fact!M4)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8" displayName="Tabla8" ref="A15:D16" totalsRowShown="0" headerRowDxfId="47" dataDxfId="46">
  <autoFilter ref="A15:D16"/>
  <tableColumns count="4">
    <tableColumn id="1" name="Plan mensual" dataDxfId="45">
      <calculatedColumnFormula>[1]Iny!D2</calculatedColumnFormula>
    </tableColumn>
    <tableColumn id="2" name="Plan Pza" dataDxfId="44">
      <calculatedColumnFormula>+IF([1]Fact!M5="C",[1]Iny!D2,[1]Iny!D4)</calculatedColumnFormula>
    </tableColumn>
    <tableColumn id="3" name="Real Pza" dataDxfId="43">
      <calculatedColumnFormula>[1]Iny!E2</calculatedColumnFormula>
    </tableColumn>
    <tableColumn id="4" name="Cond" dataDxfId="42" dataCellStyle="Porcentaje">
      <calculatedColumnFormula>IF([1]Fact!M5="C",[1]Iny!G4,[1]Iny!H4)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a9" displayName="Tabla9" ref="A20:D21" totalsRowShown="0" headerRowDxfId="41" dataDxfId="40">
  <autoFilter ref="A20:D21"/>
  <tableColumns count="4">
    <tableColumn id="1" name="Plan mensual" dataDxfId="39">
      <calculatedColumnFormula>[1]Tri!D7</calculatedColumnFormula>
    </tableColumn>
    <tableColumn id="2" name="Plan Pza" dataDxfId="38">
      <calculatedColumnFormula>IF([1]Fact!M5="C",[1]Tri!E3,[1]Tri!D4)</calculatedColumnFormula>
    </tableColumn>
    <tableColumn id="3" name="Real Pza" dataDxfId="37">
      <calculatedColumnFormula>[1]Tri!E4</calculatedColumnFormula>
    </tableColumn>
    <tableColumn id="5" name="Cump" dataDxfId="36">
      <calculatedColumnFormula>IF([1]Fact!M5="C",[1]Tri!F5,[1]Tri!H4)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a12" displayName="Tabla12" ref="I15:L16" totalsRowShown="0" headerRowDxfId="35" dataDxfId="34">
  <autoFilter ref="I15:L16"/>
  <tableColumns count="4">
    <tableColumn id="1" name="Plan mensual" dataDxfId="33">
      <calculatedColumnFormula>[1]Pel!D2</calculatedColumnFormula>
    </tableColumn>
    <tableColumn id="2" name="Plan Pza" dataDxfId="32">
      <calculatedColumnFormula>IF([1]Fact!M5="C",[1]Pel!D2,[1]Pel!D4)</calculatedColumnFormula>
    </tableColumn>
    <tableColumn id="3" name="Real Pza" dataDxfId="31">
      <calculatedColumnFormula>[1]Pel!E2</calculatedColumnFormula>
    </tableColumn>
    <tableColumn id="4" name="Cond" dataDxfId="30" dataCellStyle="Porcentaje">
      <calculatedColumnFormula>IF([1]Fact!M5="C",[1]Pel!G4,[1]Pel!H4)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a18" displayName="Tabla18" ref="I20:L27" totalsRowShown="0" headerRowDxfId="29" dataDxfId="28">
  <autoFilter ref="I20:L27"/>
  <tableColumns count="4">
    <tableColumn id="1" name="Código" dataDxfId="27"/>
    <tableColumn id="2" name="Descripción" dataDxfId="26"/>
    <tableColumn id="3" name="Cliente" dataDxfId="25"/>
    <tableColumn id="4" name="Cajas Recibidas" dataDxfId="24">
      <calculatedColumnFormula>SUMIF('[1]Cajas DiaCliente'!K:K,Tabla18[[#This Row],[Cliente]],'[1]Cajas DiaCliente'!Q:Q)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a923" displayName="Tabla923" ref="A25:D26" totalsRowShown="0" headerRowDxfId="23" dataDxfId="22">
  <autoFilter ref="A25:D26"/>
  <tableColumns count="4">
    <tableColumn id="1" name="Plan mensual" dataDxfId="21">
      <calculatedColumnFormula>'[1]Fact. Lav. Exide Mdsa'!E2</calculatedColumnFormula>
    </tableColumn>
    <tableColumn id="2" name="Plan Pza" dataDxfId="20">
      <calculatedColumnFormula>'[1]Fact. Lav. Exide Mdsa'!C2</calculatedColumnFormula>
    </tableColumn>
    <tableColumn id="3" name="Real Pza" dataDxfId="19">
      <calculatedColumnFormula>'[1]Fact. Lav. Exide Mdsa'!D2</calculatedColumnFormula>
    </tableColumn>
    <tableColumn id="5" name="Cump" dataDxfId="18">
      <calculatedColumnFormula>'[1]Fact. Lav. Exide Mdsa'!F2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a923454626" displayName="Tabla923454626" ref="A30:D31" totalsRowShown="0" headerRowDxfId="17" dataDxfId="16">
  <autoFilter ref="A30:D31"/>
  <tableColumns count="4">
    <tableColumn id="1" name="Plan mensual" dataDxfId="15"/>
    <tableColumn id="2" name="Plan Pza" dataDxfId="14"/>
    <tableColumn id="3" name="Real Pza" dataDxfId="13"/>
    <tableColumn id="5" name="Cump" dataDxfId="12">
      <calculatedColumnFormula>IFERROR(Tabla923454626[Real Pza]/Tabla923454626[Plan Pza],0)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aTDM" displayName="TablaTDM" ref="A34:D35" totalsRowShown="0" headerRowDxfId="11" dataDxfId="10">
  <autoFilter ref="A34:D35"/>
  <tableColumns count="4">
    <tableColumn id="1" name="Plan mensual" dataDxfId="9">
      <calculatedColumnFormula>+[1]Fact.TDM!E2</calculatedColumnFormula>
    </tableColumn>
    <tableColumn id="2" name="Plan Pza" dataDxfId="8">
      <calculatedColumnFormula>+[1]Fact.TDM!C2</calculatedColumnFormula>
    </tableColumn>
    <tableColumn id="3" name="Real Pza" dataDxfId="7">
      <calculatedColumnFormula>+[1]Fact.TDM!D2</calculatedColumnFormula>
    </tableColumn>
    <tableColumn id="5" name="Cump" dataDxfId="6">
      <calculatedColumnFormula>+[1]Fact.TDM!F2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aVEGA" displayName="TablaVEGA" ref="A38:D39" totalsRowShown="0" headerRowDxfId="5" dataDxfId="4">
  <autoFilter ref="A38:D39"/>
  <tableColumns count="4">
    <tableColumn id="1" name="Plan mensual" dataDxfId="3">
      <calculatedColumnFormula>+'[1]Fact. Vega '!E2</calculatedColumnFormula>
    </tableColumn>
    <tableColumn id="2" name="Plan Pza" dataDxfId="2">
      <calculatedColumnFormula>+'[1]Fact. Vega '!C2</calculatedColumnFormula>
    </tableColumn>
    <tableColumn id="3" name="Real Pza" dataDxfId="1">
      <calculatedColumnFormula>+'[1]Fact. Vega '!D2</calculatedColumnFormula>
    </tableColumn>
    <tableColumn id="5" name="Cump" dataDxfId="0">
      <calculatedColumnFormula>+'[1]Fact. Vega '!F2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M39"/>
  <sheetViews>
    <sheetView tabSelected="1" workbookViewId="0">
      <selection activeCell="M19" sqref="M19"/>
    </sheetView>
  </sheetViews>
  <sheetFormatPr baseColWidth="10" defaultRowHeight="15"/>
  <cols>
    <col min="1" max="1" width="15.140625" customWidth="1"/>
    <col min="2" max="2" width="16.140625" customWidth="1"/>
    <col min="9" max="9" width="17.5703125" bestFit="1" customWidth="1"/>
    <col min="10" max="10" width="39" bestFit="1" customWidth="1"/>
    <col min="11" max="11" width="15.42578125" bestFit="1" customWidth="1"/>
    <col min="12" max="12" width="16.7109375" bestFit="1" customWidth="1"/>
    <col min="13" max="13" width="13.5703125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I1" s="1" t="s">
        <v>0</v>
      </c>
      <c r="J1" s="2" t="s">
        <v>5</v>
      </c>
      <c r="K1" s="2" t="s">
        <v>1</v>
      </c>
      <c r="L1" s="2" t="s">
        <v>3</v>
      </c>
      <c r="M1" s="2" t="s">
        <v>6</v>
      </c>
    </row>
    <row r="2" spans="1:13">
      <c r="A2" s="1" t="str">
        <f>[1]Prodcc!C6</f>
        <v>RIASA</v>
      </c>
      <c r="B2" s="3">
        <f>[1]Prodcc!D6</f>
        <v>6375</v>
      </c>
      <c r="C2" s="3">
        <f>[1]Prodcc!E6</f>
        <v>5425.7120000000004</v>
      </c>
      <c r="D2" s="3">
        <f>B2-C2</f>
        <v>949.28799999999956</v>
      </c>
      <c r="E2" s="4">
        <f t="shared" ref="E2:E4" si="0">IFERROR(C2/B2,0)</f>
        <v>0.85109207843137258</v>
      </c>
      <c r="I2" s="1" t="s">
        <v>7</v>
      </c>
      <c r="J2" s="5">
        <f>[1]Fact!Q2</f>
        <v>1065.683</v>
      </c>
      <c r="K2" s="5">
        <f>[1]Fact!R2</f>
        <v>1320</v>
      </c>
      <c r="L2" s="5">
        <f>J2-K2</f>
        <v>-254.31700000000001</v>
      </c>
      <c r="M2" s="6">
        <f>J2/K2</f>
        <v>0.80733560606060606</v>
      </c>
    </row>
    <row r="3" spans="1:13">
      <c r="A3" s="1" t="str">
        <f>[1]Prodcc!C7</f>
        <v>PIPSA</v>
      </c>
      <c r="B3" s="3">
        <f>[1]Prodcc!D7</f>
        <v>400</v>
      </c>
      <c r="C3" s="3">
        <f>[1]Prodcc!E7</f>
        <v>420.18</v>
      </c>
      <c r="D3" s="3">
        <f>B3-C3</f>
        <v>-20.180000000000007</v>
      </c>
      <c r="E3" s="4">
        <f t="shared" si="0"/>
        <v>1.0504500000000001</v>
      </c>
      <c r="I3" s="1" t="s">
        <v>8</v>
      </c>
      <c r="J3" s="5">
        <f>[1]Fact!Q3</f>
        <v>0</v>
      </c>
      <c r="K3" s="5">
        <f>[1]Fact!R3</f>
        <v>800</v>
      </c>
      <c r="L3" s="5">
        <f>J3-K3</f>
        <v>-800</v>
      </c>
      <c r="M3" s="6">
        <f>J3/K3</f>
        <v>0</v>
      </c>
    </row>
    <row r="4" spans="1:13">
      <c r="A4" s="1" t="str">
        <f>[1]Prodcc!C8</f>
        <v>OMEGA</v>
      </c>
      <c r="B4" s="3">
        <f>[1]Prodcc!D8</f>
        <v>0</v>
      </c>
      <c r="C4" s="3">
        <f>[1]Prodcc!E8</f>
        <v>0</v>
      </c>
      <c r="D4" s="3">
        <f>B4-C4</f>
        <v>0</v>
      </c>
      <c r="E4" s="4">
        <f t="shared" si="0"/>
        <v>0</v>
      </c>
      <c r="I4" s="1" t="s">
        <v>9</v>
      </c>
      <c r="J4" s="5">
        <f>[1]Fact!Q4</f>
        <v>1012.709848</v>
      </c>
      <c r="K4" s="5">
        <f>[1]Fact!R4</f>
        <v>800</v>
      </c>
      <c r="L4" s="5">
        <f>J4-K4</f>
        <v>212.70984799999997</v>
      </c>
      <c r="M4" s="6">
        <f t="shared" ref="M4:M6" si="1">J4/K4</f>
        <v>1.2658873099999999</v>
      </c>
    </row>
    <row r="5" spans="1:13">
      <c r="I5" s="1" t="s">
        <v>10</v>
      </c>
      <c r="J5" s="5">
        <f>[1]Fact!Q5</f>
        <v>1254.77</v>
      </c>
      <c r="K5" s="5">
        <f>[1]Fact!R5</f>
        <v>1334</v>
      </c>
      <c r="L5" s="5">
        <f>J5-K5</f>
        <v>-79.230000000000018</v>
      </c>
      <c r="M5" s="6">
        <f t="shared" si="1"/>
        <v>0.94060719640179913</v>
      </c>
    </row>
    <row r="6" spans="1:13">
      <c r="I6" s="1" t="s">
        <v>11</v>
      </c>
      <c r="J6" s="5">
        <f>[1]Fact!Q6</f>
        <v>1916.3257799999883</v>
      </c>
      <c r="K6" s="5">
        <f>[1]Fact!R6</f>
        <v>2300</v>
      </c>
      <c r="L6" s="5">
        <f t="shared" ref="L6" si="2">J6-K6</f>
        <v>-383.6742200000117</v>
      </c>
      <c r="M6" s="6">
        <f t="shared" si="1"/>
        <v>0.8331851217391254</v>
      </c>
    </row>
    <row r="7" spans="1:13">
      <c r="I7" s="1" t="s">
        <v>12</v>
      </c>
      <c r="J7" s="5">
        <f>[1]Fact!Q7</f>
        <v>508.16</v>
      </c>
      <c r="K7" s="5">
        <f>[1]Fact!R7</f>
        <v>300</v>
      </c>
      <c r="L7" s="5">
        <f>J7-K7</f>
        <v>208.16000000000003</v>
      </c>
      <c r="M7" s="6">
        <f>J7/K7</f>
        <v>1.6938666666666669</v>
      </c>
    </row>
    <row r="8" spans="1:13" ht="21">
      <c r="A8" s="7" t="s">
        <v>2</v>
      </c>
      <c r="B8" s="7"/>
      <c r="C8" s="7"/>
      <c r="D8" s="7"/>
      <c r="I8" s="7" t="s">
        <v>13</v>
      </c>
      <c r="J8" s="7"/>
      <c r="K8" s="7"/>
      <c r="L8" s="7"/>
    </row>
    <row r="9" spans="1:13">
      <c r="A9" s="1" t="s">
        <v>14</v>
      </c>
      <c r="B9" s="1" t="s">
        <v>15</v>
      </c>
      <c r="C9" s="1" t="s">
        <v>16</v>
      </c>
      <c r="D9" s="1" t="s">
        <v>17</v>
      </c>
      <c r="I9" s="1" t="s">
        <v>14</v>
      </c>
      <c r="J9" s="1" t="s">
        <v>15</v>
      </c>
      <c r="K9" s="1" t="s">
        <v>18</v>
      </c>
      <c r="L9" s="1" t="s">
        <v>17</v>
      </c>
    </row>
    <row r="10" spans="1:13">
      <c r="A10" s="1">
        <f>[1]Prodcc!D3</f>
        <v>6775</v>
      </c>
      <c r="B10" s="3">
        <f ca="1">+IF([1]Fact!M5="C",[1]Prodcc!D3,[1]Prodcc!D5)</f>
        <v>6549.166666666667</v>
      </c>
      <c r="C10" s="3">
        <f>[1]Prodcc!E5</f>
        <v>5855.8919999999998</v>
      </c>
      <c r="D10" s="4">
        <f ca="1">IF([1]Fact!M5="C",[1]Prodcc!G5,[1]Prodcc!H5)</f>
        <v>0.89414307163761286</v>
      </c>
      <c r="I10" s="8">
        <f>[1]Fact!I2</f>
        <v>6854</v>
      </c>
      <c r="J10" s="3">
        <f ca="1">IF([1]Fact!M5="C",[1]Fact!I2,[1]Fact!I3)</f>
        <v>6601.9230769230735</v>
      </c>
      <c r="K10" s="3">
        <f>[1]Fact!J4</f>
        <v>5757.6486279999881</v>
      </c>
      <c r="L10" s="4">
        <f ca="1">IF([1]Fact!M5="C",[1]Fact!L4,[1]Fact!M4)</f>
        <v>0.87211689092921507</v>
      </c>
    </row>
    <row r="14" spans="1:13" ht="21">
      <c r="A14" s="7" t="s">
        <v>19</v>
      </c>
      <c r="B14" s="7"/>
      <c r="C14" s="7"/>
      <c r="D14" s="7"/>
      <c r="I14" s="7" t="s">
        <v>20</v>
      </c>
      <c r="J14" s="7"/>
      <c r="K14" s="7"/>
      <c r="L14" s="7"/>
    </row>
    <row r="15" spans="1:13">
      <c r="A15" s="1" t="s">
        <v>14</v>
      </c>
      <c r="B15" s="1" t="s">
        <v>15</v>
      </c>
      <c r="C15" s="1" t="s">
        <v>16</v>
      </c>
      <c r="D15" s="1" t="s">
        <v>17</v>
      </c>
      <c r="I15" s="1" t="s">
        <v>14</v>
      </c>
      <c r="J15" s="1" t="s">
        <v>15</v>
      </c>
      <c r="K15" s="1" t="s">
        <v>16</v>
      </c>
      <c r="L15" s="1" t="s">
        <v>17</v>
      </c>
    </row>
    <row r="16" spans="1:13">
      <c r="A16" s="8">
        <f>[1]Iny!D2</f>
        <v>911538.46153846127</v>
      </c>
      <c r="B16" s="8">
        <f ca="1">+IF([1]Fact!M5="C",[1]Iny!D2,[1]Iny!D4)</f>
        <v>881153.84615384589</v>
      </c>
      <c r="C16" s="8">
        <f>[1]Iny!E2</f>
        <v>660484</v>
      </c>
      <c r="D16" s="4">
        <f ca="1">IF([1]Fact!M5="C",[1]Iny!G4,[1]Iny!H4)</f>
        <v>0.74956717590571831</v>
      </c>
      <c r="I16" s="8">
        <f>[1]Pel!D2</f>
        <v>486000</v>
      </c>
      <c r="J16" s="8">
        <f ca="1">IF([1]Fact!M5="C",[1]Pel!D2,[1]Pel!D4)</f>
        <v>469800</v>
      </c>
      <c r="K16" s="8">
        <f>[1]Pel!E2</f>
        <v>284890</v>
      </c>
      <c r="L16" s="4">
        <f ca="1">IF([1]Fact!M5="C",[1]Pel!G4,[1]Pel!H4)</f>
        <v>0.60640698169433804</v>
      </c>
    </row>
    <row r="19" spans="1:12" ht="21">
      <c r="A19" s="7" t="s">
        <v>21</v>
      </c>
      <c r="B19" s="7"/>
      <c r="C19" s="7"/>
      <c r="D19" s="7"/>
      <c r="I19" s="7" t="s">
        <v>22</v>
      </c>
      <c r="J19" s="7"/>
      <c r="K19" s="7"/>
      <c r="L19" s="7"/>
    </row>
    <row r="20" spans="1:12">
      <c r="A20" s="1" t="s">
        <v>14</v>
      </c>
      <c r="B20" s="1" t="s">
        <v>15</v>
      </c>
      <c r="C20" s="1" t="s">
        <v>16</v>
      </c>
      <c r="D20" s="1" t="s">
        <v>23</v>
      </c>
      <c r="I20" s="9" t="s">
        <v>24</v>
      </c>
      <c r="J20" s="9" t="s">
        <v>25</v>
      </c>
      <c r="K20" s="9" t="s">
        <v>26</v>
      </c>
      <c r="L20" s="10" t="s">
        <v>27</v>
      </c>
    </row>
    <row r="21" spans="1:12">
      <c r="A21" s="8">
        <f>[1]Tri!D7</f>
        <v>12000</v>
      </c>
      <c r="B21" s="8">
        <f ca="1">IF([1]Fact!M5="C",[1]Tri!E3,[1]Tri!D4)</f>
        <v>11500</v>
      </c>
      <c r="C21" s="8">
        <f>[1]Tri!E4</f>
        <v>8294.5932769999999</v>
      </c>
      <c r="D21" s="11">
        <f ca="1">IF([1]Fact!M5="C",[1]Tri!F5,[1]Tri!H4)</f>
        <v>0.7212689806086956</v>
      </c>
      <c r="I21" s="12">
        <v>1509875</v>
      </c>
      <c r="J21" s="12" t="s">
        <v>28</v>
      </c>
      <c r="K21" s="12" t="s">
        <v>29</v>
      </c>
      <c r="L21" s="13">
        <f ca="1">SUMIF('[1]Cajas DiaCliente'!K:K,Tabla18[[#This Row],[Cliente]],'[1]Cajas DiaCliente'!Q:Q)</f>
        <v>0.81524324324324327</v>
      </c>
    </row>
    <row r="22" spans="1:12">
      <c r="I22" s="12">
        <v>1509889</v>
      </c>
      <c r="J22" s="12" t="s">
        <v>30</v>
      </c>
      <c r="K22" s="12" t="s">
        <v>31</v>
      </c>
      <c r="L22" s="13">
        <f ca="1">SUMIF('[1]Cajas DiaCliente'!K:K,Tabla18[[#This Row],[Cliente]],'[1]Cajas DiaCliente'!Q:Q)</f>
        <v>1.0396962162162162</v>
      </c>
    </row>
    <row r="23" spans="1:12">
      <c r="I23" s="12">
        <v>1509890</v>
      </c>
      <c r="J23" s="12" t="s">
        <v>32</v>
      </c>
      <c r="K23" s="12" t="s">
        <v>33</v>
      </c>
      <c r="L23" s="13">
        <f ca="1">SUMIF('[1]Cajas DiaCliente'!K:K,Tabla18[[#This Row],[Cliente]],'[1]Cajas DiaCliente'!Q:Q)</f>
        <v>0</v>
      </c>
    </row>
    <row r="24" spans="1:12" ht="21">
      <c r="A24" s="7" t="s">
        <v>34</v>
      </c>
      <c r="B24" s="7"/>
      <c r="C24" s="7"/>
      <c r="D24" s="7"/>
      <c r="I24" s="12">
        <v>1509891</v>
      </c>
      <c r="J24" s="12" t="s">
        <v>35</v>
      </c>
      <c r="K24" s="12" t="s">
        <v>36</v>
      </c>
      <c r="L24" s="13">
        <f ca="1">SUMIF('[1]Cajas DiaCliente'!K:K,Tabla18[[#This Row],[Cliente]],'[1]Cajas DiaCliente'!Q:Q)</f>
        <v>15.733008324324324</v>
      </c>
    </row>
    <row r="25" spans="1:12">
      <c r="A25" s="1" t="s">
        <v>14</v>
      </c>
      <c r="B25" s="1" t="s">
        <v>15</v>
      </c>
      <c r="C25" s="1" t="s">
        <v>16</v>
      </c>
      <c r="D25" s="1" t="s">
        <v>23</v>
      </c>
      <c r="I25" s="12">
        <v>1509894</v>
      </c>
      <c r="J25" s="12" t="s">
        <v>37</v>
      </c>
      <c r="K25" s="12" t="s">
        <v>38</v>
      </c>
      <c r="L25" s="13">
        <f ca="1">SUMIF('[1]Cajas DiaCliente'!K:K,Tabla18[[#This Row],[Cliente]],'[1]Cajas DiaCliente'!Q:Q)</f>
        <v>2.0558854054054057</v>
      </c>
    </row>
    <row r="26" spans="1:12">
      <c r="A26" s="8">
        <f>'[1]Fact. Lav. Exide Mdsa'!E2</f>
        <v>40000</v>
      </c>
      <c r="B26" s="3">
        <f>'[1]Fact. Lav. Exide Mdsa'!C2</f>
        <v>0</v>
      </c>
      <c r="C26" s="8">
        <f>'[1]Fact. Lav. Exide Mdsa'!D2</f>
        <v>0</v>
      </c>
      <c r="D26" s="11">
        <f>'[1]Fact. Lav. Exide Mdsa'!F2</f>
        <v>0</v>
      </c>
      <c r="I26" s="12">
        <v>1511267</v>
      </c>
      <c r="J26" s="12" t="s">
        <v>39</v>
      </c>
      <c r="K26" s="12" t="s">
        <v>40</v>
      </c>
      <c r="L26" s="13">
        <f ca="1">SUMIF('[1]Cajas DiaCliente'!K:K,Tabla18[[#This Row],[Cliente]],'[1]Cajas DiaCliente'!Q:Q)</f>
        <v>0</v>
      </c>
    </row>
    <row r="27" spans="1:12">
      <c r="I27" s="12">
        <v>1511268</v>
      </c>
      <c r="J27" s="12" t="s">
        <v>41</v>
      </c>
      <c r="K27" s="12" t="s">
        <v>42</v>
      </c>
      <c r="L27" s="13">
        <f ca="1">SUMIF('[1]Cajas DiaCliente'!K:K,Tabla18[[#This Row],[Cliente]],'[1]Cajas DiaCliente'!Q:Q)</f>
        <v>0</v>
      </c>
    </row>
    <row r="29" spans="1:12" ht="21">
      <c r="A29" s="7" t="s">
        <v>43</v>
      </c>
      <c r="B29" s="7"/>
      <c r="C29" s="7"/>
      <c r="D29" s="7"/>
    </row>
    <row r="30" spans="1:12">
      <c r="A30" s="1" t="s">
        <v>14</v>
      </c>
      <c r="B30" s="1" t="s">
        <v>15</v>
      </c>
      <c r="C30" s="1" t="s">
        <v>16</v>
      </c>
      <c r="D30" s="1" t="s">
        <v>23</v>
      </c>
    </row>
    <row r="31" spans="1:12">
      <c r="A31" s="8">
        <v>0</v>
      </c>
      <c r="B31" s="3">
        <v>0</v>
      </c>
      <c r="C31" s="14">
        <v>0</v>
      </c>
      <c r="D31" s="11">
        <f>IFERROR(Tabla923454626[Real Pza]/Tabla923454626[Plan Pza],0)</f>
        <v>0</v>
      </c>
    </row>
    <row r="33" spans="1:4" ht="21">
      <c r="A33" s="7" t="s">
        <v>44</v>
      </c>
      <c r="B33" s="7"/>
      <c r="C33" s="7"/>
      <c r="D33" s="7"/>
    </row>
    <row r="34" spans="1:4">
      <c r="A34" s="1" t="s">
        <v>14</v>
      </c>
      <c r="B34" s="1" t="s">
        <v>15</v>
      </c>
      <c r="C34" s="1" t="s">
        <v>16</v>
      </c>
      <c r="D34" s="1" t="s">
        <v>23</v>
      </c>
    </row>
    <row r="35" spans="1:4">
      <c r="A35" s="8">
        <f>+[1]Fact.TDM!E2</f>
        <v>9411</v>
      </c>
      <c r="B35" s="3">
        <f>+[1]Fact.TDM!C2</f>
        <v>9411</v>
      </c>
      <c r="C35" s="8">
        <f>+[1]Fact.TDM!D2</f>
        <v>9411</v>
      </c>
      <c r="D35" s="11">
        <f>+[1]Fact.TDM!F2</f>
        <v>1</v>
      </c>
    </row>
    <row r="37" spans="1:4" ht="21">
      <c r="A37" s="7" t="s">
        <v>45</v>
      </c>
      <c r="B37" s="7"/>
      <c r="C37" s="7"/>
      <c r="D37" s="7"/>
    </row>
    <row r="38" spans="1:4">
      <c r="A38" s="1" t="s">
        <v>14</v>
      </c>
      <c r="B38" s="1" t="s">
        <v>15</v>
      </c>
      <c r="C38" s="1" t="s">
        <v>16</v>
      </c>
      <c r="D38" s="1" t="s">
        <v>23</v>
      </c>
    </row>
    <row r="39" spans="1:4">
      <c r="A39" s="8">
        <f>+'[1]Fact. Vega '!E2</f>
        <v>35660</v>
      </c>
      <c r="B39" s="8">
        <f>+'[1]Fact. Vega '!C2</f>
        <v>35660</v>
      </c>
      <c r="C39" s="8">
        <f>+'[1]Fact. Vega '!D2</f>
        <v>35660</v>
      </c>
      <c r="D39" s="11">
        <f>+'[1]Fact. Vega '!F2</f>
        <v>1</v>
      </c>
    </row>
  </sheetData>
  <mergeCells count="10">
    <mergeCell ref="A24:D24"/>
    <mergeCell ref="A29:D29"/>
    <mergeCell ref="A33:D33"/>
    <mergeCell ref="A37:D37"/>
    <mergeCell ref="A8:D8"/>
    <mergeCell ref="I8:L8"/>
    <mergeCell ref="A14:D14"/>
    <mergeCell ref="I14:L14"/>
    <mergeCell ref="A19:D19"/>
    <mergeCell ref="I19:L19"/>
  </mergeCells>
  <pageMargins left="0.7" right="0.7" top="0.75" bottom="0.75" header="0.3" footer="0.3"/>
  <pageSetup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Medidores Grafica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Alberto Sanchez Hernandez</dc:creator>
  <cp:lastModifiedBy>Jose Alberto Sanchez Hernandez</cp:lastModifiedBy>
  <dcterms:created xsi:type="dcterms:W3CDTF">2026-06-30T17:52:41Z</dcterms:created>
  <dcterms:modified xsi:type="dcterms:W3CDTF">2026-06-30T17:52:41Z</dcterms:modified>
</cp:coreProperties>
</file>